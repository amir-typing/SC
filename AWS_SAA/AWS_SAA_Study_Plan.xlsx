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Plan" sheetId="1" state="visible" r:id="rId3"/>
    <sheet name="Weekly Summary" sheetId="2" state="visible" r:id="rId4"/>
    <sheet name="Practice Exams" sheetId="3" state="visible" r:id="rId5"/>
    <sheet name="Read 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<sst xmlns="http://schemas.openxmlformats.org/spreadsheetml/2006/main" count="248" uniqueCount="139">
  <si>
    <t xml:space="preserve">Week</t>
  </si>
  <si>
    <t xml:space="preserve">Date</t>
  </si>
  <si>
    <t xml:space="preserve">Day</t>
  </si>
  <si>
    <t xml:space="preserve">Phase</t>
  </si>
  <si>
    <t xml:space="preserve">Planned Hrs</t>
  </si>
  <si>
    <t xml:space="preserve">Topic</t>
  </si>
  <si>
    <t xml:space="preserve">Task / Deliverable</t>
  </si>
  <si>
    <t xml:space="preserve">Exam Domain</t>
  </si>
  <si>
    <t xml:space="preserve">Status</t>
  </si>
  <si>
    <t xml:space="preserve">Actual Hrs</t>
  </si>
  <si>
    <t xml:space="preserve">1 Core services</t>
  </si>
  <si>
    <t xml:space="preserve">Orientation</t>
  </si>
  <si>
    <t xml:space="preserve">Read SAA-C03 exam guide + domain weights. Set up AWS free-tier account, billing alarm, MFA.</t>
  </si>
  <si>
    <t xml:space="preserve">All</t>
  </si>
  <si>
    <t xml:space="preserve">Not started</t>
  </si>
  <si>
    <t xml:space="preserve">IAM</t>
  </si>
  <si>
    <t xml:space="preserve">Users, groups, roles, policies (identity vs resource-based).</t>
  </si>
  <si>
    <t xml:space="preserve">Secure</t>
  </si>
  <si>
    <t xml:space="preserve">IAM / Organizations</t>
  </si>
  <si>
    <t xml:space="preserve">STS, SCPs, permission boundaries, cross-account access.</t>
  </si>
  <si>
    <t xml:space="preserve">S3 basics</t>
  </si>
  <si>
    <t xml:space="preserve">Storage classes, versioning, lifecycle rules, static hosting.</t>
  </si>
  <si>
    <t xml:space="preserve">Cost / Resilient</t>
  </si>
  <si>
    <t xml:space="preserve">S3 security + LAB</t>
  </si>
  <si>
    <t xml:space="preserve">Bucket policies, encryption, replication. LAB: bucket + lifecycle + policy.</t>
  </si>
  <si>
    <t xml:space="preserve">EC2</t>
  </si>
  <si>
    <t xml:space="preserve">Instance families, purchasing options (On-Demand/Reserved/Spot), AMIs, placement groups.</t>
  </si>
  <si>
    <t xml:space="preserve">Performance / Cost</t>
  </si>
  <si>
    <t xml:space="preserve">EBS / EFS / FSx</t>
  </si>
  <si>
    <t xml:space="preserve">Volume types, snapshots, instance store, EFS vs FSx use cases.</t>
  </si>
  <si>
    <t xml:space="preserve">Performance</t>
  </si>
  <si>
    <t xml:space="preserve">VPC (1)</t>
  </si>
  <si>
    <t xml:space="preserve">Subnets, route tables, IGW, NAT gateway. (Map to what you know from Network+.)</t>
  </si>
  <si>
    <t xml:space="preserve">Secure / Resilient</t>
  </si>
  <si>
    <t xml:space="preserve">VPC (2)</t>
  </si>
  <si>
    <t xml:space="preserve">Security groups vs NACLs, VPC endpoints, peering, Transit Gateway, VPN/Direct Connect.</t>
  </si>
  <si>
    <t xml:space="preserve">Route 53</t>
  </si>
  <si>
    <t xml:space="preserve">Routing policies (failover, latency, weighted, geo), health checks.</t>
  </si>
  <si>
    <t xml:space="preserve">Resilient</t>
  </si>
  <si>
    <t xml:space="preserve">ELB + Auto Scaling</t>
  </si>
  <si>
    <t xml:space="preserve">ALB vs NLB vs GWLB, scaling policies, health checks.</t>
  </si>
  <si>
    <t xml:space="preserve">Resilient / Performance</t>
  </si>
  <si>
    <t xml:space="preserve">LAB: VPC + ALB + ASG</t>
  </si>
  <si>
    <t xml:space="preserve">Build custom VPC, launch EC2 behind ALB with ASG. Tear down after.</t>
  </si>
  <si>
    <t xml:space="preserve">Review + questions</t>
  </si>
  <si>
    <t xml:space="preserve">Re-read weak notes. 20 practice questions on IAM/S3/EC2/VPC. Log wrong answers.</t>
  </si>
  <si>
    <t xml:space="preserve">2 Data, decoupling, security</t>
  </si>
  <si>
    <t xml:space="preserve">RDS &amp; Aurora</t>
  </si>
  <si>
    <t xml:space="preserve">Multi-AZ vs read replicas, Aurora features, backups, RDS Proxy.</t>
  </si>
  <si>
    <t xml:space="preserve">DynamoDB</t>
  </si>
  <si>
    <t xml:space="preserve">Capacity modes, DAX, global tables, streams.</t>
  </si>
  <si>
    <t xml:space="preserve">Other data services</t>
  </si>
  <si>
    <t xml:space="preserve">ElastiCache, Redshift, Athena, Glue, EMR. Learn the 'which DB for which scenario' map.</t>
  </si>
  <si>
    <t xml:space="preserve">SQS / SNS</t>
  </si>
  <si>
    <t xml:space="preserve">Standard vs FIFO, DLQ, fan-out pattern.</t>
  </si>
  <si>
    <t xml:space="preserve">EventBridge / Kinesis / Step Functions</t>
  </si>
  <si>
    <t xml:space="preserve">When to use each; decoupling patterns.</t>
  </si>
  <si>
    <t xml:space="preserve">Lambda + API Gateway + LAB</t>
  </si>
  <si>
    <t xml:space="preserve">Concurrency, triggers, limits. LAB: Lambda + API Gateway + DynamoDB.</t>
  </si>
  <si>
    <t xml:space="preserve">25 practice questions on databases + decoupling. Log wrong answers.</t>
  </si>
  <si>
    <t xml:space="preserve">CloudFront / Global Accelerator</t>
  </si>
  <si>
    <t xml:space="preserve">Caching, OAC, edge use cases, GA vs CloudFront.</t>
  </si>
  <si>
    <t xml:space="preserve">Encryption</t>
  </si>
  <si>
    <t xml:space="preserve">KMS, Secrets Manager, ACM, CloudHSM, encryption at rest/in transit.</t>
  </si>
  <si>
    <t xml:space="preserve">Threat protection</t>
  </si>
  <si>
    <t xml:space="preserve">WAF, Shield, GuardDuty, Inspector, Macie, Firewall Manager.</t>
  </si>
  <si>
    <t xml:space="preserve">Monitoring / governance</t>
  </si>
  <si>
    <t xml:space="preserve">CloudWatch, CloudTrail, Config, Systems Manager, Trusted Advisor.</t>
  </si>
  <si>
    <t xml:space="preserve">Secure / Cost</t>
  </si>
  <si>
    <t xml:space="preserve">Cost optimization</t>
  </si>
  <si>
    <t xml:space="preserve">Savings Plans, Reserved, Spot, Cost Explorer, Budgets, S3 tiering.</t>
  </si>
  <si>
    <t xml:space="preserve">Cost</t>
  </si>
  <si>
    <t xml:space="preserve">Migration + DR</t>
  </si>
  <si>
    <t xml:space="preserve">DMS, Snow family, DataSync, Storage Gateway, AWS Backup, DR strategies (RTO/RPO).</t>
  </si>
  <si>
    <t xml:space="preserve">3 Practice &amp; weak spots</t>
  </si>
  <si>
    <t xml:space="preserve">PRACTICE EXAM #1</t>
  </si>
  <si>
    <t xml:space="preserve">Full timed practice exam (65 Qs). Do NOT skip. Record score on 'Practice Exams' tab.</t>
  </si>
  <si>
    <t xml:space="preserve">Review exam #1</t>
  </si>
  <si>
    <t xml:space="preserve">Go through every wrong AND guessed question. Write the reason in your own words.</t>
  </si>
  <si>
    <t xml:space="preserve">Weak area #1</t>
  </si>
  <si>
    <t xml:space="preserve">Re-study the lowest-scoring domain from exam #1.</t>
  </si>
  <si>
    <t xml:space="preserve">Per exam #1</t>
  </si>
  <si>
    <t xml:space="preserve">Weak area #2</t>
  </si>
  <si>
    <t xml:space="preserve">Re-study second-lowest domain. 20 targeted questions.</t>
  </si>
  <si>
    <t xml:space="preserve">Resilient architectures</t>
  </si>
  <si>
    <t xml:space="preserve">Multi-AZ/multi-region patterns, failover, backup, RTO/RPO scenarios.</t>
  </si>
  <si>
    <t xml:space="preserve">Performance + cost scenarios</t>
  </si>
  <si>
    <t xml:space="preserve">Pick-the-right-service scenario questions. Compare similar services side by side.</t>
  </si>
  <si>
    <t xml:space="preserve">PRACTICE EXAM #2</t>
  </si>
  <si>
    <t xml:space="preserve">Full timed practice exam. Target 75%+. Record score.</t>
  </si>
  <si>
    <t xml:space="preserve">Review exam #2</t>
  </si>
  <si>
    <t xml:space="preserve">Review every wrong/guessed question. Update cheat sheet.</t>
  </si>
  <si>
    <t xml:space="preserve">4 Final review</t>
  </si>
  <si>
    <t xml:space="preserve">Weak-area drill</t>
  </si>
  <si>
    <t xml:space="preserve">Drill remaining weak topics only. No new material from here on.</t>
  </si>
  <si>
    <t xml:space="preserve">Per exam #2</t>
  </si>
  <si>
    <t xml:space="preserve">Timed question set</t>
  </si>
  <si>
    <t xml:space="preserve">30 mixed questions in 45 min. Record score on 'Practice Exams' tab.</t>
  </si>
  <si>
    <t xml:space="preserve">Service comparison sheet</t>
  </si>
  <si>
    <t xml:space="preserve">One-page comparison (SQS vs SNS, EBS vs EFS, NLB vs ALB, etc).</t>
  </si>
  <si>
    <t xml:space="preserve">Light review</t>
  </si>
  <si>
    <t xml:space="preserve">Skim notes + cheat sheet. Confirm exam booking, ID, test-center/online setup.</t>
  </si>
  <si>
    <t xml:space="preserve">Rest</t>
  </si>
  <si>
    <t xml:space="preserve">30-minute skim only. Sleep early. No cramming.</t>
  </si>
  <si>
    <t xml:space="preserve">EXAM DAY</t>
  </si>
  <si>
    <t xml:space="preserve">Take the AWS SAA-C03 exam.</t>
  </si>
  <si>
    <t xml:space="preserve">TOTAL</t>
  </si>
  <si>
    <t xml:space="preserve">Starts</t>
  </si>
  <si>
    <t xml:space="preserve">Days Done</t>
  </si>
  <si>
    <t xml:space="preserve">Days Planned</t>
  </si>
  <si>
    <t xml:space="preserve">Completion %</t>
  </si>
  <si>
    <t xml:space="preserve">Behind?</t>
  </si>
  <si>
    <t xml:space="preserve">Days until exam:</t>
  </si>
  <si>
    <t xml:space="preserve">Domain weights (SAA-C03): Secure 30% | Resilient 26% | High-performing 24% | Cost-optimized 20%</t>
  </si>
  <si>
    <t xml:space="preserve">Attempt</t>
  </si>
  <si>
    <t xml:space="preserve">Score %</t>
  </si>
  <si>
    <t xml:space="preserve">Secure %</t>
  </si>
  <si>
    <t xml:space="preserve">Resilient %</t>
  </si>
  <si>
    <t xml:space="preserve">Performance %</t>
  </si>
  <si>
    <t xml:space="preserve">Cost %</t>
  </si>
  <si>
    <t xml:space="preserve">Weakest domain / notes</t>
  </si>
  <si>
    <t xml:space="preserve">Exam #1 (diagnostic)</t>
  </si>
  <si>
    <t xml:space="preserve">Exam #2</t>
  </si>
  <si>
    <t xml:space="preserve">Timed set (30 Qs)</t>
  </si>
  <si>
    <t xml:space="preserve">Extra attempt</t>
  </si>
  <si>
    <t xml:space="preserve">Target score before sitting the exam (hardcoded goal, edit if you like):</t>
  </si>
  <si>
    <t xml:space="preserve">Ready?</t>
  </si>
  <si>
    <t xml:space="preserve">Legend: blue = cells for you to fill in. Official pass mark is 720/1000, but practice exams run easier or harder, so aim well above it.</t>
  </si>
  <si>
    <t xml:space="preserve">HOW THIS PLAN WAS BUILT</t>
  </si>
  <si>
    <t xml:space="preserve">Exam: AWS Solutions Architect Associate (SAA-C03), 21 Nov 2026. Plan starts 13 Oct 2026.</t>
  </si>
  <si>
    <t xml:space="preserve">Inputs you gave: ~1 hr per weeknight, 1-2 hrs per weekend day (planned at 1.5 hrs; 2 hrs on practice-exam days), working Mon-Fri, weekend part-time class.</t>
  </si>
  <si>
    <t xml:space="preserve">Resource: AWS SAA partner readiness modules (no hands-on labs included) -&gt; short labs added on weekends (marked LAB).</t>
  </si>
  <si>
    <t xml:space="preserve">Assumption: you already hold CCP and Network+, so cloud basics and networking get less time than a beginner would need.</t>
  </si>
  <si>
    <t xml:space="preserve">RULES</t>
  </si>
  <si>
    <t xml:space="preserve">1. Update Status and Actual Hrs daily. The 'Weekly Summary' tab shows if you are behind.</t>
  </si>
  <si>
    <t xml:space="preserve">2. Total planned hours are the minimum, with almost no slack. Missing 3-4 days puts the date at risk; make up lost hours on the weekend, do not drop practice exams.</t>
  </si>
  <si>
    <t xml:space="preserve">3. Practice exams: you need your own question bank (AWS official practice questions or a third-party set). The modules alone are not enough.</t>
  </si>
  <si>
    <t xml:space="preserve">4. From 16 Nov: no new material. Only review and weak areas.</t>
  </si>
  <si>
    <t xml:space="preserve">5. Tear down every lab resource after use to avoid AWS charges.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</si>
</sst>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dd\ mmm\ yyyy"/>
    <numFmt numFmtId="167" formatCode="0.0"/>
    <numFmt numFmtId="168" formatCode="dd\ mmm"/>
    <numFmt numFmtId="169" formatCode="0%"/>
    <numFmt numFmtId="170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70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f aca="false">INT((B2-DATE(2026,10,13))/7)+1</f>
        <v>1</v>
      </c>
      <c r="B2" s="3" t="n">
        <v>46308</v>
      </c>
      <c r="C2" s="2" t="str">
        <f aca="false">TEXT(B2,"ddd")</f>
        <v>Tue</v>
      </c>
      <c r="D2" s="4" t="s">
        <v>10</v>
      </c>
      <c r="E2" s="5" t="n">
        <v>1</v>
      </c>
      <c r="F2" s="6" t="s">
        <v>11</v>
      </c>
      <c r="G2" s="4" t="s">
        <v>12</v>
      </c>
      <c r="H2" s="4" t="s">
        <v>13</v>
      </c>
      <c r="I2" s="7" t="s">
        <v>14</v>
      </c>
      <c r="J2" s="8"/>
    </row>
    <row r="3" customFormat="false" ht="15" hidden="false" customHeight="false" outlineLevel="0" collapsed="false">
      <c r="A3" s="2" t="n">
        <f aca="false">INT((B3-DATE(2026,10,13))/7)+1</f>
        <v>1</v>
      </c>
      <c r="B3" s="3" t="n">
        <v>46309</v>
      </c>
      <c r="C3" s="2" t="str">
        <f aca="false">TEXT(B3,"ddd")</f>
        <v>Wed</v>
      </c>
      <c r="D3" s="4" t="s">
        <v>10</v>
      </c>
      <c r="E3" s="5" t="n">
        <v>1</v>
      </c>
      <c r="F3" s="6" t="s">
        <v>15</v>
      </c>
      <c r="G3" s="4" t="s">
        <v>16</v>
      </c>
      <c r="H3" s="4" t="s">
        <v>17</v>
      </c>
      <c r="I3" s="7" t="s">
        <v>14</v>
      </c>
      <c r="J3" s="8"/>
    </row>
    <row r="4" customFormat="false" ht="15" hidden="false" customHeight="false" outlineLevel="0" collapsed="false">
      <c r="A4" s="2" t="n">
        <f aca="false">INT((B4-DATE(2026,10,13))/7)+1</f>
        <v>1</v>
      </c>
      <c r="B4" s="3" t="n">
        <v>46310</v>
      </c>
      <c r="C4" s="2" t="str">
        <f aca="false">TEXT(B4,"ddd")</f>
        <v>Thu</v>
      </c>
      <c r="D4" s="4" t="s">
        <v>10</v>
      </c>
      <c r="E4" s="5" t="n">
        <v>1</v>
      </c>
      <c r="F4" s="6" t="s">
        <v>18</v>
      </c>
      <c r="G4" s="4" t="s">
        <v>19</v>
      </c>
      <c r="H4" s="4" t="s">
        <v>17</v>
      </c>
      <c r="I4" s="7" t="s">
        <v>14</v>
      </c>
      <c r="J4" s="8"/>
    </row>
    <row r="5" customFormat="false" ht="15" hidden="false" customHeight="false" outlineLevel="0" collapsed="false">
      <c r="A5" s="2" t="n">
        <f aca="false">INT((B5-DATE(2026,10,13))/7)+1</f>
        <v>1</v>
      </c>
      <c r="B5" s="3" t="n">
        <v>46311</v>
      </c>
      <c r="C5" s="2" t="str">
        <f aca="false">TEXT(B5,"ddd")</f>
        <v>Fri</v>
      </c>
      <c r="D5" s="4" t="s">
        <v>10</v>
      </c>
      <c r="E5" s="5" t="n">
        <v>1</v>
      </c>
      <c r="F5" s="6" t="s">
        <v>20</v>
      </c>
      <c r="G5" s="4" t="s">
        <v>21</v>
      </c>
      <c r="H5" s="4" t="s">
        <v>22</v>
      </c>
      <c r="I5" s="7" t="s">
        <v>14</v>
      </c>
      <c r="J5" s="8"/>
    </row>
    <row r="6" customFormat="false" ht="15" hidden="false" customHeight="false" outlineLevel="0" collapsed="false">
      <c r="A6" s="2" t="n">
        <f aca="false">INT((B6-DATE(2026,10,13))/7)+1</f>
        <v>1</v>
      </c>
      <c r="B6" s="3" t="n">
        <v>46312</v>
      </c>
      <c r="C6" s="2" t="str">
        <f aca="false">TEXT(B6,"ddd")</f>
        <v>Sat</v>
      </c>
      <c r="D6" s="4" t="s">
        <v>10</v>
      </c>
      <c r="E6" s="5" t="n">
        <v>1.5</v>
      </c>
      <c r="F6" s="6" t="s">
        <v>23</v>
      </c>
      <c r="G6" s="4" t="s">
        <v>24</v>
      </c>
      <c r="H6" s="4" t="s">
        <v>17</v>
      </c>
      <c r="I6" s="7" t="s">
        <v>14</v>
      </c>
      <c r="J6" s="8"/>
    </row>
    <row r="7" customFormat="false" ht="23.85" hidden="false" customHeight="false" outlineLevel="0" collapsed="false">
      <c r="A7" s="2" t="n">
        <f aca="false">INT((B7-DATE(2026,10,13))/7)+1</f>
        <v>1</v>
      </c>
      <c r="B7" s="3" t="n">
        <v>46313</v>
      </c>
      <c r="C7" s="2" t="str">
        <f aca="false">TEXT(B7,"ddd")</f>
        <v>Sun</v>
      </c>
      <c r="D7" s="4" t="s">
        <v>10</v>
      </c>
      <c r="E7" s="5" t="n">
        <v>1.5</v>
      </c>
      <c r="F7" s="6" t="s">
        <v>25</v>
      </c>
      <c r="G7" s="4" t="s">
        <v>26</v>
      </c>
      <c r="H7" s="4" t="s">
        <v>27</v>
      </c>
      <c r="I7" s="7" t="s">
        <v>14</v>
      </c>
      <c r="J7" s="8"/>
    </row>
    <row r="8" customFormat="false" ht="15" hidden="false" customHeight="false" outlineLevel="0" collapsed="false">
      <c r="A8" s="2" t="n">
        <f aca="false">INT((B8-DATE(2026,10,13))/7)+1</f>
        <v>1</v>
      </c>
      <c r="B8" s="3" t="n">
        <v>46314</v>
      </c>
      <c r="C8" s="2" t="str">
        <f aca="false">TEXT(B8,"ddd")</f>
        <v>Mon</v>
      </c>
      <c r="D8" s="4" t="s">
        <v>10</v>
      </c>
      <c r="E8" s="5" t="n">
        <v>1</v>
      </c>
      <c r="F8" s="6" t="s">
        <v>28</v>
      </c>
      <c r="G8" s="4" t="s">
        <v>29</v>
      </c>
      <c r="H8" s="4" t="s">
        <v>30</v>
      </c>
      <c r="I8" s="7" t="s">
        <v>14</v>
      </c>
      <c r="J8" s="8"/>
    </row>
    <row r="9" customFormat="false" ht="15" hidden="false" customHeight="false" outlineLevel="0" collapsed="false">
      <c r="A9" s="2" t="n">
        <f aca="false">INT((B9-DATE(2026,10,13))/7)+1</f>
        <v>2</v>
      </c>
      <c r="B9" s="3" t="n">
        <v>46315</v>
      </c>
      <c r="C9" s="2" t="str">
        <f aca="false">TEXT(B9,"ddd")</f>
        <v>Tue</v>
      </c>
      <c r="D9" s="4" t="s">
        <v>10</v>
      </c>
      <c r="E9" s="5" t="n">
        <v>1</v>
      </c>
      <c r="F9" s="6" t="s">
        <v>31</v>
      </c>
      <c r="G9" s="4" t="s">
        <v>32</v>
      </c>
      <c r="H9" s="4" t="s">
        <v>33</v>
      </c>
      <c r="I9" s="7" t="s">
        <v>14</v>
      </c>
      <c r="J9" s="8"/>
    </row>
    <row r="10" customFormat="false" ht="23.85" hidden="false" customHeight="false" outlineLevel="0" collapsed="false">
      <c r="A10" s="2" t="n">
        <f aca="false">INT((B10-DATE(2026,10,13))/7)+1</f>
        <v>2</v>
      </c>
      <c r="B10" s="3" t="n">
        <v>46316</v>
      </c>
      <c r="C10" s="2" t="str">
        <f aca="false">TEXT(B10,"ddd")</f>
        <v>Wed</v>
      </c>
      <c r="D10" s="4" t="s">
        <v>10</v>
      </c>
      <c r="E10" s="5" t="n">
        <v>1</v>
      </c>
      <c r="F10" s="6" t="s">
        <v>34</v>
      </c>
      <c r="G10" s="4" t="s">
        <v>35</v>
      </c>
      <c r="H10" s="4" t="s">
        <v>17</v>
      </c>
      <c r="I10" s="7" t="s">
        <v>14</v>
      </c>
      <c r="J10" s="8"/>
    </row>
    <row r="11" customFormat="false" ht="15" hidden="false" customHeight="false" outlineLevel="0" collapsed="false">
      <c r="A11" s="2" t="n">
        <f aca="false">INT((B11-DATE(2026,10,13))/7)+1</f>
        <v>2</v>
      </c>
      <c r="B11" s="3" t="n">
        <v>46317</v>
      </c>
      <c r="C11" s="2" t="str">
        <f aca="false">TEXT(B11,"ddd")</f>
        <v>Thu</v>
      </c>
      <c r="D11" s="4" t="s">
        <v>10</v>
      </c>
      <c r="E11" s="5" t="n">
        <v>1</v>
      </c>
      <c r="F11" s="6" t="s">
        <v>36</v>
      </c>
      <c r="G11" s="4" t="s">
        <v>37</v>
      </c>
      <c r="H11" s="4" t="s">
        <v>38</v>
      </c>
      <c r="I11" s="7" t="s">
        <v>14</v>
      </c>
      <c r="J11" s="8"/>
    </row>
    <row r="12" customFormat="false" ht="15" hidden="false" customHeight="false" outlineLevel="0" collapsed="false">
      <c r="A12" s="2" t="n">
        <f aca="false">INT((B12-DATE(2026,10,13))/7)+1</f>
        <v>2</v>
      </c>
      <c r="B12" s="3" t="n">
        <v>46318</v>
      </c>
      <c r="C12" s="2" t="str">
        <f aca="false">TEXT(B12,"ddd")</f>
        <v>Fri</v>
      </c>
      <c r="D12" s="4" t="s">
        <v>10</v>
      </c>
      <c r="E12" s="5" t="n">
        <v>1</v>
      </c>
      <c r="F12" s="6" t="s">
        <v>39</v>
      </c>
      <c r="G12" s="4" t="s">
        <v>40</v>
      </c>
      <c r="H12" s="4" t="s">
        <v>41</v>
      </c>
      <c r="I12" s="7" t="s">
        <v>14</v>
      </c>
      <c r="J12" s="8"/>
    </row>
    <row r="13" customFormat="false" ht="15" hidden="false" customHeight="false" outlineLevel="0" collapsed="false">
      <c r="A13" s="2" t="n">
        <f aca="false">INT((B13-DATE(2026,10,13))/7)+1</f>
        <v>2</v>
      </c>
      <c r="B13" s="3" t="n">
        <v>46319</v>
      </c>
      <c r="C13" s="2" t="str">
        <f aca="false">TEXT(B13,"ddd")</f>
        <v>Sat</v>
      </c>
      <c r="D13" s="4" t="s">
        <v>10</v>
      </c>
      <c r="E13" s="5" t="n">
        <v>1.5</v>
      </c>
      <c r="F13" s="6" t="s">
        <v>42</v>
      </c>
      <c r="G13" s="4" t="s">
        <v>43</v>
      </c>
      <c r="H13" s="4" t="s">
        <v>38</v>
      </c>
      <c r="I13" s="7" t="s">
        <v>14</v>
      </c>
      <c r="J13" s="8"/>
    </row>
    <row r="14" customFormat="false" ht="15" hidden="false" customHeight="false" outlineLevel="0" collapsed="false">
      <c r="A14" s="2" t="n">
        <f aca="false">INT((B14-DATE(2026,10,13))/7)+1</f>
        <v>2</v>
      </c>
      <c r="B14" s="3" t="n">
        <v>46320</v>
      </c>
      <c r="C14" s="2" t="str">
        <f aca="false">TEXT(B14,"ddd")</f>
        <v>Sun</v>
      </c>
      <c r="D14" s="4" t="s">
        <v>10</v>
      </c>
      <c r="E14" s="5" t="n">
        <v>1.5</v>
      </c>
      <c r="F14" s="6" t="s">
        <v>44</v>
      </c>
      <c r="G14" s="4" t="s">
        <v>45</v>
      </c>
      <c r="H14" s="4" t="s">
        <v>13</v>
      </c>
      <c r="I14" s="7" t="s">
        <v>14</v>
      </c>
      <c r="J14" s="8"/>
    </row>
    <row r="15" customFormat="false" ht="15" hidden="false" customHeight="false" outlineLevel="0" collapsed="false">
      <c r="A15" s="9" t="n">
        <f aca="false">INT((B15-DATE(2026,10,13))/7)+1</f>
        <v>2</v>
      </c>
      <c r="B15" s="10" t="n">
        <v>46321</v>
      </c>
      <c r="C15" s="9" t="str">
        <f aca="false">TEXT(B15,"ddd")</f>
        <v>Mon</v>
      </c>
      <c r="D15" s="11" t="s">
        <v>46</v>
      </c>
      <c r="E15" s="12" t="n">
        <v>1</v>
      </c>
      <c r="F15" s="13" t="s">
        <v>47</v>
      </c>
      <c r="G15" s="11" t="s">
        <v>48</v>
      </c>
      <c r="H15" s="11" t="s">
        <v>38</v>
      </c>
      <c r="I15" s="14" t="s">
        <v>14</v>
      </c>
      <c r="J15" s="15"/>
    </row>
    <row r="16" customFormat="false" ht="15" hidden="false" customHeight="false" outlineLevel="0" collapsed="false">
      <c r="A16" s="9" t="n">
        <f aca="false">INT((B16-DATE(2026,10,13))/7)+1</f>
        <v>3</v>
      </c>
      <c r="B16" s="10" t="n">
        <v>46322</v>
      </c>
      <c r="C16" s="9" t="str">
        <f aca="false">TEXT(B16,"ddd")</f>
        <v>Tue</v>
      </c>
      <c r="D16" s="11" t="s">
        <v>46</v>
      </c>
      <c r="E16" s="12" t="n">
        <v>1</v>
      </c>
      <c r="F16" s="13" t="s">
        <v>49</v>
      </c>
      <c r="G16" s="11" t="s">
        <v>50</v>
      </c>
      <c r="H16" s="11" t="s">
        <v>30</v>
      </c>
      <c r="I16" s="14" t="s">
        <v>14</v>
      </c>
      <c r="J16" s="15"/>
    </row>
    <row r="17" customFormat="false" ht="23.85" hidden="false" customHeight="false" outlineLevel="0" collapsed="false">
      <c r="A17" s="9" t="n">
        <f aca="false">INT((B17-DATE(2026,10,13))/7)+1</f>
        <v>3</v>
      </c>
      <c r="B17" s="10" t="n">
        <v>46323</v>
      </c>
      <c r="C17" s="9" t="str">
        <f aca="false">TEXT(B17,"ddd")</f>
        <v>Wed</v>
      </c>
      <c r="D17" s="11" t="s">
        <v>46</v>
      </c>
      <c r="E17" s="12" t="n">
        <v>1</v>
      </c>
      <c r="F17" s="13" t="s">
        <v>51</v>
      </c>
      <c r="G17" s="11" t="s">
        <v>52</v>
      </c>
      <c r="H17" s="11" t="s">
        <v>30</v>
      </c>
      <c r="I17" s="14" t="s">
        <v>14</v>
      </c>
      <c r="J17" s="15"/>
    </row>
    <row r="18" customFormat="false" ht="15" hidden="false" customHeight="false" outlineLevel="0" collapsed="false">
      <c r="A18" s="9" t="n">
        <f aca="false">INT((B18-DATE(2026,10,13))/7)+1</f>
        <v>3</v>
      </c>
      <c r="B18" s="10" t="n">
        <v>46324</v>
      </c>
      <c r="C18" s="9" t="str">
        <f aca="false">TEXT(B18,"ddd")</f>
        <v>Thu</v>
      </c>
      <c r="D18" s="11" t="s">
        <v>46</v>
      </c>
      <c r="E18" s="12" t="n">
        <v>1</v>
      </c>
      <c r="F18" s="13" t="s">
        <v>53</v>
      </c>
      <c r="G18" s="11" t="s">
        <v>54</v>
      </c>
      <c r="H18" s="11" t="s">
        <v>38</v>
      </c>
      <c r="I18" s="14" t="s">
        <v>14</v>
      </c>
      <c r="J18" s="15"/>
    </row>
    <row r="19" customFormat="false" ht="23.85" hidden="false" customHeight="false" outlineLevel="0" collapsed="false">
      <c r="A19" s="9" t="n">
        <f aca="false">INT((B19-DATE(2026,10,13))/7)+1</f>
        <v>3</v>
      </c>
      <c r="B19" s="10" t="n">
        <v>46325</v>
      </c>
      <c r="C19" s="9" t="str">
        <f aca="false">TEXT(B19,"ddd")</f>
        <v>Fri</v>
      </c>
      <c r="D19" s="11" t="s">
        <v>46</v>
      </c>
      <c r="E19" s="12" t="n">
        <v>1</v>
      </c>
      <c r="F19" s="13" t="s">
        <v>55</v>
      </c>
      <c r="G19" s="11" t="s">
        <v>56</v>
      </c>
      <c r="H19" s="11" t="s">
        <v>38</v>
      </c>
      <c r="I19" s="14" t="s">
        <v>14</v>
      </c>
      <c r="J19" s="15"/>
    </row>
    <row r="20" customFormat="false" ht="15" hidden="false" customHeight="false" outlineLevel="0" collapsed="false">
      <c r="A20" s="9" t="n">
        <f aca="false">INT((B20-DATE(2026,10,13))/7)+1</f>
        <v>3</v>
      </c>
      <c r="B20" s="10" t="n">
        <v>46326</v>
      </c>
      <c r="C20" s="9" t="str">
        <f aca="false">TEXT(B20,"ddd")</f>
        <v>Sat</v>
      </c>
      <c r="D20" s="11" t="s">
        <v>46</v>
      </c>
      <c r="E20" s="12" t="n">
        <v>1.5</v>
      </c>
      <c r="F20" s="13" t="s">
        <v>57</v>
      </c>
      <c r="G20" s="11" t="s">
        <v>58</v>
      </c>
      <c r="H20" s="11" t="s">
        <v>30</v>
      </c>
      <c r="I20" s="14" t="s">
        <v>14</v>
      </c>
      <c r="J20" s="15"/>
    </row>
    <row r="21" customFormat="false" ht="15" hidden="false" customHeight="false" outlineLevel="0" collapsed="false">
      <c r="A21" s="9" t="n">
        <f aca="false">INT((B21-DATE(2026,10,13))/7)+1</f>
        <v>3</v>
      </c>
      <c r="B21" s="10" t="n">
        <v>46327</v>
      </c>
      <c r="C21" s="9" t="str">
        <f aca="false">TEXT(B21,"ddd")</f>
        <v>Sun</v>
      </c>
      <c r="D21" s="11" t="s">
        <v>46</v>
      </c>
      <c r="E21" s="12" t="n">
        <v>1.5</v>
      </c>
      <c r="F21" s="13" t="s">
        <v>44</v>
      </c>
      <c r="G21" s="11" t="s">
        <v>59</v>
      </c>
      <c r="H21" s="11" t="s">
        <v>13</v>
      </c>
      <c r="I21" s="14" t="s">
        <v>14</v>
      </c>
      <c r="J21" s="15"/>
    </row>
    <row r="22" customFormat="false" ht="15" hidden="false" customHeight="false" outlineLevel="0" collapsed="false">
      <c r="A22" s="9" t="n">
        <f aca="false">INT((B22-DATE(2026,10,13))/7)+1</f>
        <v>3</v>
      </c>
      <c r="B22" s="10" t="n">
        <v>46328</v>
      </c>
      <c r="C22" s="9" t="str">
        <f aca="false">TEXT(B22,"ddd")</f>
        <v>Mon</v>
      </c>
      <c r="D22" s="11" t="s">
        <v>46</v>
      </c>
      <c r="E22" s="12" t="n">
        <v>1</v>
      </c>
      <c r="F22" s="13" t="s">
        <v>60</v>
      </c>
      <c r="G22" s="11" t="s">
        <v>61</v>
      </c>
      <c r="H22" s="11" t="s">
        <v>30</v>
      </c>
      <c r="I22" s="14" t="s">
        <v>14</v>
      </c>
      <c r="J22" s="15"/>
    </row>
    <row r="23" customFormat="false" ht="15" hidden="false" customHeight="false" outlineLevel="0" collapsed="false">
      <c r="A23" s="9" t="n">
        <f aca="false">INT((B23-DATE(2026,10,13))/7)+1</f>
        <v>4</v>
      </c>
      <c r="B23" s="10" t="n">
        <v>46329</v>
      </c>
      <c r="C23" s="9" t="str">
        <f aca="false">TEXT(B23,"ddd")</f>
        <v>Tue</v>
      </c>
      <c r="D23" s="11" t="s">
        <v>46</v>
      </c>
      <c r="E23" s="12" t="n">
        <v>1</v>
      </c>
      <c r="F23" s="13" t="s">
        <v>62</v>
      </c>
      <c r="G23" s="11" t="s">
        <v>63</v>
      </c>
      <c r="H23" s="11" t="s">
        <v>17</v>
      </c>
      <c r="I23" s="14" t="s">
        <v>14</v>
      </c>
      <c r="J23" s="15"/>
    </row>
    <row r="24" customFormat="false" ht="15" hidden="false" customHeight="false" outlineLevel="0" collapsed="false">
      <c r="A24" s="9" t="n">
        <f aca="false">INT((B24-DATE(2026,10,13))/7)+1</f>
        <v>4</v>
      </c>
      <c r="B24" s="10" t="n">
        <v>46330</v>
      </c>
      <c r="C24" s="9" t="str">
        <f aca="false">TEXT(B24,"ddd")</f>
        <v>Wed</v>
      </c>
      <c r="D24" s="11" t="s">
        <v>46</v>
      </c>
      <c r="E24" s="12" t="n">
        <v>1</v>
      </c>
      <c r="F24" s="13" t="s">
        <v>64</v>
      </c>
      <c r="G24" s="11" t="s">
        <v>65</v>
      </c>
      <c r="H24" s="11" t="s">
        <v>17</v>
      </c>
      <c r="I24" s="14" t="s">
        <v>14</v>
      </c>
      <c r="J24" s="15"/>
    </row>
    <row r="25" customFormat="false" ht="15" hidden="false" customHeight="false" outlineLevel="0" collapsed="false">
      <c r="A25" s="9" t="n">
        <f aca="false">INT((B25-DATE(2026,10,13))/7)+1</f>
        <v>4</v>
      </c>
      <c r="B25" s="10" t="n">
        <v>46331</v>
      </c>
      <c r="C25" s="9" t="str">
        <f aca="false">TEXT(B25,"ddd")</f>
        <v>Thu</v>
      </c>
      <c r="D25" s="11" t="s">
        <v>46</v>
      </c>
      <c r="E25" s="12" t="n">
        <v>1</v>
      </c>
      <c r="F25" s="13" t="s">
        <v>66</v>
      </c>
      <c r="G25" s="11" t="s">
        <v>67</v>
      </c>
      <c r="H25" s="11" t="s">
        <v>68</v>
      </c>
      <c r="I25" s="14" t="s">
        <v>14</v>
      </c>
      <c r="J25" s="15"/>
    </row>
    <row r="26" customFormat="false" ht="15" hidden="false" customHeight="false" outlineLevel="0" collapsed="false">
      <c r="A26" s="9" t="n">
        <f aca="false">INT((B26-DATE(2026,10,13))/7)+1</f>
        <v>4</v>
      </c>
      <c r="B26" s="10" t="n">
        <v>46332</v>
      </c>
      <c r="C26" s="9" t="str">
        <f aca="false">TEXT(B26,"ddd")</f>
        <v>Fri</v>
      </c>
      <c r="D26" s="11" t="s">
        <v>46</v>
      </c>
      <c r="E26" s="12" t="n">
        <v>1</v>
      </c>
      <c r="F26" s="13" t="s">
        <v>69</v>
      </c>
      <c r="G26" s="11" t="s">
        <v>70</v>
      </c>
      <c r="H26" s="11" t="s">
        <v>71</v>
      </c>
      <c r="I26" s="14" t="s">
        <v>14</v>
      </c>
      <c r="J26" s="15"/>
    </row>
    <row r="27" customFormat="false" ht="23.85" hidden="false" customHeight="false" outlineLevel="0" collapsed="false">
      <c r="A27" s="9" t="n">
        <f aca="false">INT((B27-DATE(2026,10,13))/7)+1</f>
        <v>4</v>
      </c>
      <c r="B27" s="10" t="n">
        <v>46333</v>
      </c>
      <c r="C27" s="9" t="str">
        <f aca="false">TEXT(B27,"ddd")</f>
        <v>Sat</v>
      </c>
      <c r="D27" s="11" t="s">
        <v>46</v>
      </c>
      <c r="E27" s="12" t="n">
        <v>1.5</v>
      </c>
      <c r="F27" s="13" t="s">
        <v>72</v>
      </c>
      <c r="G27" s="11" t="s">
        <v>73</v>
      </c>
      <c r="H27" s="11" t="s">
        <v>38</v>
      </c>
      <c r="I27" s="14" t="s">
        <v>14</v>
      </c>
      <c r="J27" s="15"/>
    </row>
    <row r="28" customFormat="false" ht="15" hidden="false" customHeight="false" outlineLevel="0" collapsed="false">
      <c r="A28" s="16" t="n">
        <f aca="false">INT((B28-DATE(2026,10,13))/7)+1</f>
        <v>4</v>
      </c>
      <c r="B28" s="17" t="n">
        <v>46334</v>
      </c>
      <c r="C28" s="16" t="str">
        <f aca="false">TEXT(B28,"ddd")</f>
        <v>Sun</v>
      </c>
      <c r="D28" s="18" t="s">
        <v>74</v>
      </c>
      <c r="E28" s="19" t="n">
        <v>2</v>
      </c>
      <c r="F28" s="20" t="s">
        <v>75</v>
      </c>
      <c r="G28" s="18" t="s">
        <v>76</v>
      </c>
      <c r="H28" s="18" t="s">
        <v>13</v>
      </c>
      <c r="I28" s="21" t="s">
        <v>14</v>
      </c>
      <c r="J28" s="22"/>
    </row>
    <row r="29" customFormat="false" ht="15" hidden="false" customHeight="false" outlineLevel="0" collapsed="false">
      <c r="A29" s="16" t="n">
        <f aca="false">INT((B29-DATE(2026,10,13))/7)+1</f>
        <v>4</v>
      </c>
      <c r="B29" s="17" t="n">
        <v>46335</v>
      </c>
      <c r="C29" s="16" t="str">
        <f aca="false">TEXT(B29,"ddd")</f>
        <v>Mon</v>
      </c>
      <c r="D29" s="18" t="s">
        <v>74</v>
      </c>
      <c r="E29" s="19" t="n">
        <v>1</v>
      </c>
      <c r="F29" s="20" t="s">
        <v>77</v>
      </c>
      <c r="G29" s="18" t="s">
        <v>78</v>
      </c>
      <c r="H29" s="18" t="s">
        <v>13</v>
      </c>
      <c r="I29" s="21" t="s">
        <v>14</v>
      </c>
      <c r="J29" s="22"/>
    </row>
    <row r="30" customFormat="false" ht="15" hidden="false" customHeight="false" outlineLevel="0" collapsed="false">
      <c r="A30" s="16" t="n">
        <f aca="false">INT((B30-DATE(2026,10,13))/7)+1</f>
        <v>5</v>
      </c>
      <c r="B30" s="17" t="n">
        <v>46336</v>
      </c>
      <c r="C30" s="16" t="str">
        <f aca="false">TEXT(B30,"ddd")</f>
        <v>Tue</v>
      </c>
      <c r="D30" s="18" t="s">
        <v>74</v>
      </c>
      <c r="E30" s="19" t="n">
        <v>1</v>
      </c>
      <c r="F30" s="20" t="s">
        <v>79</v>
      </c>
      <c r="G30" s="18" t="s">
        <v>80</v>
      </c>
      <c r="H30" s="18" t="s">
        <v>81</v>
      </c>
      <c r="I30" s="21" t="s">
        <v>14</v>
      </c>
      <c r="J30" s="22"/>
    </row>
    <row r="31" customFormat="false" ht="15" hidden="false" customHeight="false" outlineLevel="0" collapsed="false">
      <c r="A31" s="16" t="n">
        <f aca="false">INT((B31-DATE(2026,10,13))/7)+1</f>
        <v>5</v>
      </c>
      <c r="B31" s="17" t="n">
        <v>46337</v>
      </c>
      <c r="C31" s="16" t="str">
        <f aca="false">TEXT(B31,"ddd")</f>
        <v>Wed</v>
      </c>
      <c r="D31" s="18" t="s">
        <v>74</v>
      </c>
      <c r="E31" s="19" t="n">
        <v>1</v>
      </c>
      <c r="F31" s="20" t="s">
        <v>82</v>
      </c>
      <c r="G31" s="18" t="s">
        <v>83</v>
      </c>
      <c r="H31" s="18" t="s">
        <v>81</v>
      </c>
      <c r="I31" s="21" t="s">
        <v>14</v>
      </c>
      <c r="J31" s="22"/>
    </row>
    <row r="32" customFormat="false" ht="15" hidden="false" customHeight="false" outlineLevel="0" collapsed="false">
      <c r="A32" s="16" t="n">
        <f aca="false">INT((B32-DATE(2026,10,13))/7)+1</f>
        <v>5</v>
      </c>
      <c r="B32" s="17" t="n">
        <v>46338</v>
      </c>
      <c r="C32" s="16" t="str">
        <f aca="false">TEXT(B32,"ddd")</f>
        <v>Thu</v>
      </c>
      <c r="D32" s="18" t="s">
        <v>74</v>
      </c>
      <c r="E32" s="19" t="n">
        <v>1</v>
      </c>
      <c r="F32" s="20" t="s">
        <v>84</v>
      </c>
      <c r="G32" s="18" t="s">
        <v>85</v>
      </c>
      <c r="H32" s="18" t="s">
        <v>38</v>
      </c>
      <c r="I32" s="21" t="s">
        <v>14</v>
      </c>
      <c r="J32" s="22"/>
    </row>
    <row r="33" customFormat="false" ht="15" hidden="false" customHeight="false" outlineLevel="0" collapsed="false">
      <c r="A33" s="16" t="n">
        <f aca="false">INT((B33-DATE(2026,10,13))/7)+1</f>
        <v>5</v>
      </c>
      <c r="B33" s="17" t="n">
        <v>46339</v>
      </c>
      <c r="C33" s="16" t="str">
        <f aca="false">TEXT(B33,"ddd")</f>
        <v>Fri</v>
      </c>
      <c r="D33" s="18" t="s">
        <v>74</v>
      </c>
      <c r="E33" s="19" t="n">
        <v>1</v>
      </c>
      <c r="F33" s="20" t="s">
        <v>86</v>
      </c>
      <c r="G33" s="18" t="s">
        <v>87</v>
      </c>
      <c r="H33" s="18" t="s">
        <v>27</v>
      </c>
      <c r="I33" s="21" t="s">
        <v>14</v>
      </c>
      <c r="J33" s="22"/>
    </row>
    <row r="34" customFormat="false" ht="15" hidden="false" customHeight="false" outlineLevel="0" collapsed="false">
      <c r="A34" s="16" t="n">
        <f aca="false">INT((B34-DATE(2026,10,13))/7)+1</f>
        <v>5</v>
      </c>
      <c r="B34" s="17" t="n">
        <v>46340</v>
      </c>
      <c r="C34" s="16" t="str">
        <f aca="false">TEXT(B34,"ddd")</f>
        <v>Sat</v>
      </c>
      <c r="D34" s="18" t="s">
        <v>74</v>
      </c>
      <c r="E34" s="19" t="n">
        <v>2</v>
      </c>
      <c r="F34" s="20" t="s">
        <v>88</v>
      </c>
      <c r="G34" s="18" t="s">
        <v>89</v>
      </c>
      <c r="H34" s="18" t="s">
        <v>13</v>
      </c>
      <c r="I34" s="21" t="s">
        <v>14</v>
      </c>
      <c r="J34" s="22"/>
    </row>
    <row r="35" customFormat="false" ht="15" hidden="false" customHeight="false" outlineLevel="0" collapsed="false">
      <c r="A35" s="16" t="n">
        <f aca="false">INT((B35-DATE(2026,10,13))/7)+1</f>
        <v>5</v>
      </c>
      <c r="B35" s="17" t="n">
        <v>46341</v>
      </c>
      <c r="C35" s="16" t="str">
        <f aca="false">TEXT(B35,"ddd")</f>
        <v>Sun</v>
      </c>
      <c r="D35" s="18" t="s">
        <v>74</v>
      </c>
      <c r="E35" s="19" t="n">
        <v>1.5</v>
      </c>
      <c r="F35" s="20" t="s">
        <v>90</v>
      </c>
      <c r="G35" s="18" t="s">
        <v>91</v>
      </c>
      <c r="H35" s="18" t="s">
        <v>13</v>
      </c>
      <c r="I35" s="21" t="s">
        <v>14</v>
      </c>
      <c r="J35" s="22"/>
    </row>
    <row r="36" customFormat="false" ht="15" hidden="false" customHeight="false" outlineLevel="0" collapsed="false">
      <c r="A36" s="23" t="n">
        <f aca="false">INT((B36-DATE(2026,10,13))/7)+1</f>
        <v>5</v>
      </c>
      <c r="B36" s="24" t="n">
        <v>46342</v>
      </c>
      <c r="C36" s="23" t="str">
        <f aca="false">TEXT(B36,"ddd")</f>
        <v>Mon</v>
      </c>
      <c r="D36" s="25" t="s">
        <v>92</v>
      </c>
      <c r="E36" s="26" t="n">
        <v>1</v>
      </c>
      <c r="F36" s="27" t="s">
        <v>93</v>
      </c>
      <c r="G36" s="25" t="s">
        <v>94</v>
      </c>
      <c r="H36" s="25" t="s">
        <v>95</v>
      </c>
      <c r="I36" s="28" t="s">
        <v>14</v>
      </c>
      <c r="J36" s="29"/>
    </row>
    <row r="37" customFormat="false" ht="15" hidden="false" customHeight="false" outlineLevel="0" collapsed="false">
      <c r="A37" s="23" t="n">
        <f aca="false">INT((B37-DATE(2026,10,13))/7)+1</f>
        <v>6</v>
      </c>
      <c r="B37" s="24" t="n">
        <v>46343</v>
      </c>
      <c r="C37" s="23" t="str">
        <f aca="false">TEXT(B37,"ddd")</f>
        <v>Tue</v>
      </c>
      <c r="D37" s="25" t="s">
        <v>92</v>
      </c>
      <c r="E37" s="26" t="n">
        <v>1</v>
      </c>
      <c r="F37" s="27" t="s">
        <v>96</v>
      </c>
      <c r="G37" s="25" t="s">
        <v>97</v>
      </c>
      <c r="H37" s="25" t="s">
        <v>13</v>
      </c>
      <c r="I37" s="28" t="s">
        <v>14</v>
      </c>
      <c r="J37" s="29"/>
    </row>
    <row r="38" customFormat="false" ht="15" hidden="false" customHeight="false" outlineLevel="0" collapsed="false">
      <c r="A38" s="23" t="n">
        <f aca="false">INT((B38-DATE(2026,10,13))/7)+1</f>
        <v>6</v>
      </c>
      <c r="B38" s="24" t="n">
        <v>46344</v>
      </c>
      <c r="C38" s="23" t="str">
        <f aca="false">TEXT(B38,"ddd")</f>
        <v>Wed</v>
      </c>
      <c r="D38" s="25" t="s">
        <v>92</v>
      </c>
      <c r="E38" s="26" t="n">
        <v>1</v>
      </c>
      <c r="F38" s="27" t="s">
        <v>98</v>
      </c>
      <c r="G38" s="25" t="s">
        <v>99</v>
      </c>
      <c r="H38" s="25" t="s">
        <v>13</v>
      </c>
      <c r="I38" s="28" t="s">
        <v>14</v>
      </c>
      <c r="J38" s="29"/>
    </row>
    <row r="39" customFormat="false" ht="15" hidden="false" customHeight="false" outlineLevel="0" collapsed="false">
      <c r="A39" s="23" t="n">
        <f aca="false">INT((B39-DATE(2026,10,13))/7)+1</f>
        <v>6</v>
      </c>
      <c r="B39" s="24" t="n">
        <v>46345</v>
      </c>
      <c r="C39" s="23" t="str">
        <f aca="false">TEXT(B39,"ddd")</f>
        <v>Thu</v>
      </c>
      <c r="D39" s="25" t="s">
        <v>92</v>
      </c>
      <c r="E39" s="26" t="n">
        <v>1</v>
      </c>
      <c r="F39" s="27" t="s">
        <v>100</v>
      </c>
      <c r="G39" s="25" t="s">
        <v>101</v>
      </c>
      <c r="H39" s="25" t="s">
        <v>13</v>
      </c>
      <c r="I39" s="28" t="s">
        <v>14</v>
      </c>
      <c r="J39" s="29"/>
    </row>
    <row r="40" customFormat="false" ht="15" hidden="false" customHeight="false" outlineLevel="0" collapsed="false">
      <c r="A40" s="23" t="n">
        <f aca="false">INT((B40-DATE(2026,10,13))/7)+1</f>
        <v>6</v>
      </c>
      <c r="B40" s="24" t="n">
        <v>46346</v>
      </c>
      <c r="C40" s="23" t="str">
        <f aca="false">TEXT(B40,"ddd")</f>
        <v>Fri</v>
      </c>
      <c r="D40" s="25" t="s">
        <v>92</v>
      </c>
      <c r="E40" s="26" t="n">
        <v>0.5</v>
      </c>
      <c r="F40" s="27" t="s">
        <v>102</v>
      </c>
      <c r="G40" s="25" t="s">
        <v>103</v>
      </c>
      <c r="H40" s="25" t="s">
        <v>13</v>
      </c>
      <c r="I40" s="28" t="s">
        <v>14</v>
      </c>
      <c r="J40" s="29"/>
    </row>
    <row r="41" customFormat="false" ht="15" hidden="false" customHeight="false" outlineLevel="0" collapsed="false">
      <c r="A41" s="23" t="n">
        <f aca="false">INT((B41-DATE(2026,10,13))/7)+1</f>
        <v>6</v>
      </c>
      <c r="B41" s="24" t="n">
        <v>46347</v>
      </c>
      <c r="C41" s="23" t="str">
        <f aca="false">TEXT(B41,"ddd")</f>
        <v>Sat</v>
      </c>
      <c r="D41" s="25" t="s">
        <v>92</v>
      </c>
      <c r="E41" s="26" t="n">
        <v>0</v>
      </c>
      <c r="F41" s="27" t="s">
        <v>104</v>
      </c>
      <c r="G41" s="25" t="s">
        <v>105</v>
      </c>
      <c r="H41" s="25" t="s">
        <v>13</v>
      </c>
      <c r="I41" s="28" t="s">
        <v>14</v>
      </c>
      <c r="J41" s="29"/>
    </row>
    <row r="42" customFormat="false" ht="15" hidden="false" customHeight="false" outlineLevel="0" collapsed="false">
      <c r="E42" s="30" t="n">
        <f aca="false">SUM(E2:E41)</f>
        <v>44.5</v>
      </c>
      <c r="F42" s="31" t="s">
        <v>106</v>
      </c>
      <c r="J42" s="30" t="n">
        <f aca="false">SUM(J2:J41)</f>
        <v>0</v>
      </c>
    </row>
  </sheetData>
  <conditionalFormatting sqref="I2:I4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"Skipped"</formula>
    </cfRule>
  </conditionalFormatting>
  <dataValidations count="1">
    <dataValidation allowBlank="false" errorStyle="stop" operator="between" showDropDown="false" showErrorMessage="false" showInputMessage="false" sqref="I2:I41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2" t="s">
        <v>0</v>
      </c>
      <c r="B1" s="32" t="s">
        <v>107</v>
      </c>
      <c r="C1" s="32" t="s">
        <v>4</v>
      </c>
      <c r="D1" s="32" t="s">
        <v>9</v>
      </c>
      <c r="E1" s="32" t="s">
        <v>108</v>
      </c>
      <c r="F1" s="32" t="s">
        <v>109</v>
      </c>
      <c r="G1" s="32" t="s">
        <v>110</v>
      </c>
      <c r="H1" s="32" t="s">
        <v>111</v>
      </c>
    </row>
    <row r="2" customFormat="false" ht="15" hidden="false" customHeight="false" outlineLevel="0" collapsed="false">
      <c r="A2" s="33" t="n">
        <v>1</v>
      </c>
      <c r="B2" s="34" t="n">
        <f aca="false">DATE(2026,10,13)+(A2-1)*7</f>
        <v>46308</v>
      </c>
      <c r="C2" s="35" t="n">
        <f aca="false">SUMIFS('Daily Plan'!$E$2:$E$41,'Daily Plan'!$A$2:$A$41,A2)</f>
        <v>8</v>
      </c>
      <c r="D2" s="35" t="n">
        <f aca="false">SUMIFS('Daily Plan'!$J$2:$J$41,'Daily Plan'!$A$2:$A$41,A2)</f>
        <v>0</v>
      </c>
      <c r="E2" s="33" t="n">
        <f aca="false">COUNTIFS('Daily Plan'!$A$2:$A$41,A2,'Daily Plan'!$I$2:$I$41,"Done")</f>
        <v>0</v>
      </c>
      <c r="F2" s="33" t="n">
        <f aca="false">COUNTIFS('Daily Plan'!$A$2:$A$41,A2)</f>
        <v>7</v>
      </c>
      <c r="G2" s="36" t="n">
        <f aca="false">IF(F2=0,0,E2/F2)</f>
        <v>0</v>
      </c>
      <c r="H2" s="33" t="str">
        <f aca="true">IF(AND(B2+6&lt;TODAY(),G2&lt;1),"BEHIND",IF(G2=1,"On track","-"))</f>
        <v>-</v>
      </c>
    </row>
    <row r="3" customFormat="false" ht="15" hidden="false" customHeight="false" outlineLevel="0" collapsed="false">
      <c r="A3" s="33" t="n">
        <v>2</v>
      </c>
      <c r="B3" s="34" t="n">
        <f aca="false">DATE(2026,10,13)+(A3-1)*7</f>
        <v>46315</v>
      </c>
      <c r="C3" s="35" t="n">
        <f aca="false">SUMIFS('Daily Plan'!$E$2:$E$41,'Daily Plan'!$A$2:$A$41,A3)</f>
        <v>8</v>
      </c>
      <c r="D3" s="35" t="n">
        <f aca="false">SUMIFS('Daily Plan'!$J$2:$J$41,'Daily Plan'!$A$2:$A$41,A3)</f>
        <v>0</v>
      </c>
      <c r="E3" s="33" t="n">
        <f aca="false">COUNTIFS('Daily Plan'!$A$2:$A$41,A3,'Daily Plan'!$I$2:$I$41,"Done")</f>
        <v>0</v>
      </c>
      <c r="F3" s="33" t="n">
        <f aca="false">COUNTIFS('Daily Plan'!$A$2:$A$41,A3)</f>
        <v>7</v>
      </c>
      <c r="G3" s="36" t="n">
        <f aca="false">IF(F3=0,0,E3/F3)</f>
        <v>0</v>
      </c>
      <c r="H3" s="33" t="str">
        <f aca="true">IF(AND(B3+6&lt;TODAY(),G3&lt;1),"BEHIND",IF(G3=1,"On track","-"))</f>
        <v>-</v>
      </c>
    </row>
    <row r="4" customFormat="false" ht="15" hidden="false" customHeight="false" outlineLevel="0" collapsed="false">
      <c r="A4" s="33" t="n">
        <v>3</v>
      </c>
      <c r="B4" s="34" t="n">
        <f aca="false">DATE(2026,10,13)+(A4-1)*7</f>
        <v>46322</v>
      </c>
      <c r="C4" s="35" t="n">
        <f aca="false">SUMIFS('Daily Plan'!$E$2:$E$41,'Daily Plan'!$A$2:$A$41,A4)</f>
        <v>8</v>
      </c>
      <c r="D4" s="35" t="n">
        <f aca="false">SUMIFS('Daily Plan'!$J$2:$J$41,'Daily Plan'!$A$2:$A$41,A4)</f>
        <v>0</v>
      </c>
      <c r="E4" s="33" t="n">
        <f aca="false">COUNTIFS('Daily Plan'!$A$2:$A$41,A4,'Daily Plan'!$I$2:$I$41,"Done")</f>
        <v>0</v>
      </c>
      <c r="F4" s="33" t="n">
        <f aca="false">COUNTIFS('Daily Plan'!$A$2:$A$41,A4)</f>
        <v>7</v>
      </c>
      <c r="G4" s="36" t="n">
        <f aca="false">IF(F4=0,0,E4/F4)</f>
        <v>0</v>
      </c>
      <c r="H4" s="33" t="str">
        <f aca="true">IF(AND(B4+6&lt;TODAY(),G4&lt;1),"BEHIND",IF(G4=1,"On track","-"))</f>
        <v>-</v>
      </c>
    </row>
    <row r="5" customFormat="false" ht="15" hidden="false" customHeight="false" outlineLevel="0" collapsed="false">
      <c r="A5" s="33" t="n">
        <v>4</v>
      </c>
      <c r="B5" s="34" t="n">
        <f aca="false">DATE(2026,10,13)+(A5-1)*7</f>
        <v>46329</v>
      </c>
      <c r="C5" s="35" t="n">
        <f aca="false">SUMIFS('Daily Plan'!$E$2:$E$41,'Daily Plan'!$A$2:$A$41,A5)</f>
        <v>8.5</v>
      </c>
      <c r="D5" s="35" t="n">
        <f aca="false">SUMIFS('Daily Plan'!$J$2:$J$41,'Daily Plan'!$A$2:$A$41,A5)</f>
        <v>0</v>
      </c>
      <c r="E5" s="33" t="n">
        <f aca="false">COUNTIFS('Daily Plan'!$A$2:$A$41,A5,'Daily Plan'!$I$2:$I$41,"Done")</f>
        <v>0</v>
      </c>
      <c r="F5" s="33" t="n">
        <f aca="false">COUNTIFS('Daily Plan'!$A$2:$A$41,A5)</f>
        <v>7</v>
      </c>
      <c r="G5" s="36" t="n">
        <f aca="false">IF(F5=0,0,E5/F5)</f>
        <v>0</v>
      </c>
      <c r="H5" s="33" t="str">
        <f aca="true">IF(AND(B5+6&lt;TODAY(),G5&lt;1),"BEHIND",IF(G5=1,"On track","-"))</f>
        <v>-</v>
      </c>
    </row>
    <row r="6" customFormat="false" ht="15" hidden="false" customHeight="false" outlineLevel="0" collapsed="false">
      <c r="A6" s="33" t="n">
        <v>5</v>
      </c>
      <c r="B6" s="34" t="n">
        <f aca="false">DATE(2026,10,13)+(A6-1)*7</f>
        <v>46336</v>
      </c>
      <c r="C6" s="35" t="n">
        <f aca="false">SUMIFS('Daily Plan'!$E$2:$E$41,'Daily Plan'!$A$2:$A$41,A6)</f>
        <v>8.5</v>
      </c>
      <c r="D6" s="35" t="n">
        <f aca="false">SUMIFS('Daily Plan'!$J$2:$J$41,'Daily Plan'!$A$2:$A$41,A6)</f>
        <v>0</v>
      </c>
      <c r="E6" s="33" t="n">
        <f aca="false">COUNTIFS('Daily Plan'!$A$2:$A$41,A6,'Daily Plan'!$I$2:$I$41,"Done")</f>
        <v>0</v>
      </c>
      <c r="F6" s="33" t="n">
        <f aca="false">COUNTIFS('Daily Plan'!$A$2:$A$41,A6)</f>
        <v>7</v>
      </c>
      <c r="G6" s="36" t="n">
        <f aca="false">IF(F6=0,0,E6/F6)</f>
        <v>0</v>
      </c>
      <c r="H6" s="33" t="str">
        <f aca="true">IF(AND(B6+6&lt;TODAY(),G6&lt;1),"BEHIND",IF(G6=1,"On track","-"))</f>
        <v>-</v>
      </c>
    </row>
    <row r="7" customFormat="false" ht="15" hidden="false" customHeight="false" outlineLevel="0" collapsed="false">
      <c r="A7" s="33" t="n">
        <v>6</v>
      </c>
      <c r="B7" s="34" t="n">
        <f aca="false">DATE(2026,10,13)+(A7-1)*7</f>
        <v>46343</v>
      </c>
      <c r="C7" s="35" t="n">
        <f aca="false">SUMIFS('Daily Plan'!$E$2:$E$41,'Daily Plan'!$A$2:$A$41,A7)</f>
        <v>3.5</v>
      </c>
      <c r="D7" s="35" t="n">
        <f aca="false">SUMIFS('Daily Plan'!$J$2:$J$41,'Daily Plan'!$A$2:$A$41,A7)</f>
        <v>0</v>
      </c>
      <c r="E7" s="33" t="n">
        <f aca="false">COUNTIFS('Daily Plan'!$A$2:$A$41,A7,'Daily Plan'!$I$2:$I$41,"Done")</f>
        <v>0</v>
      </c>
      <c r="F7" s="33" t="n">
        <f aca="false">COUNTIFS('Daily Plan'!$A$2:$A$41,A7)</f>
        <v>5</v>
      </c>
      <c r="G7" s="36" t="n">
        <f aca="false">IF(F7=0,0,E7/F7)</f>
        <v>0</v>
      </c>
      <c r="H7" s="33" t="str">
        <f aca="true">IF(AND(B7+6&lt;TODAY(),G7&lt;1),"BEHIND",IF(G7=1,"On track","-"))</f>
        <v>-</v>
      </c>
    </row>
    <row r="8" customFormat="false" ht="15" hidden="false" customHeight="false" outlineLevel="0" collapsed="false">
      <c r="A8" s="31" t="s">
        <v>106</v>
      </c>
      <c r="C8" s="37" t="n">
        <f aca="false">SUM(C2:C7)</f>
        <v>44.5</v>
      </c>
      <c r="D8" s="37" t="n">
        <f aca="false">SUM(D2:D7)</f>
        <v>0</v>
      </c>
      <c r="E8" s="38" t="n">
        <f aca="false">SUM(E2:E7)</f>
        <v>0</v>
      </c>
      <c r="F8" s="38" t="n">
        <f aca="false">SUM(F2:F7)</f>
        <v>40</v>
      </c>
      <c r="G8" s="39" t="n">
        <f aca="false">IF(F8=0,0,E8/F8)</f>
        <v>0</v>
      </c>
    </row>
    <row r="10" customFormat="false" ht="15" hidden="false" customHeight="false" outlineLevel="0" collapsed="false">
      <c r="A10" s="31" t="s">
        <v>112</v>
      </c>
      <c r="C10" s="40" t="n">
        <f aca="true">DATE(2026,11,21)-TODAY()</f>
        <v>39</v>
      </c>
    </row>
    <row r="11" customFormat="false" ht="15" hidden="false" customHeight="false" outlineLevel="0" collapsed="false">
      <c r="A11" s="41" t="s">
        <v>113</v>
      </c>
    </row>
  </sheetData>
  <conditionalFormatting sqref="H2:H7">
    <cfRule type="cellIs" priority="2" operator="equal" aboveAverage="0" equalAverage="0" bottom="0" percent="0" rank="0" text="" dxfId="1">
      <formula>"BEHIND"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32" t="s">
        <v>114</v>
      </c>
      <c r="B1" s="32" t="s">
        <v>1</v>
      </c>
      <c r="C1" s="32" t="s">
        <v>115</v>
      </c>
      <c r="D1" s="32" t="s">
        <v>116</v>
      </c>
      <c r="E1" s="32" t="s">
        <v>117</v>
      </c>
      <c r="F1" s="32" t="s">
        <v>118</v>
      </c>
      <c r="G1" s="32" t="s">
        <v>119</v>
      </c>
      <c r="H1" s="32" t="s">
        <v>120</v>
      </c>
    </row>
    <row r="2" customFormat="false" ht="15" hidden="false" customHeight="false" outlineLevel="0" collapsed="false">
      <c r="A2" s="42" t="s">
        <v>121</v>
      </c>
      <c r="B2" s="43" t="n">
        <v>46334</v>
      </c>
      <c r="C2" s="44"/>
      <c r="D2" s="44"/>
      <c r="E2" s="44"/>
      <c r="F2" s="44"/>
      <c r="G2" s="44"/>
      <c r="H2" s="42"/>
    </row>
    <row r="3" customFormat="false" ht="15" hidden="false" customHeight="false" outlineLevel="0" collapsed="false">
      <c r="A3" s="42" t="s">
        <v>122</v>
      </c>
      <c r="B3" s="43" t="n">
        <v>46340</v>
      </c>
      <c r="C3" s="44"/>
      <c r="D3" s="44"/>
      <c r="E3" s="44"/>
      <c r="F3" s="44"/>
      <c r="G3" s="44"/>
      <c r="H3" s="42"/>
    </row>
    <row r="4" customFormat="false" ht="15" hidden="false" customHeight="false" outlineLevel="0" collapsed="false">
      <c r="A4" s="42" t="s">
        <v>123</v>
      </c>
      <c r="B4" s="43" t="n">
        <v>46343</v>
      </c>
      <c r="C4" s="44"/>
      <c r="D4" s="44"/>
      <c r="E4" s="44"/>
      <c r="F4" s="44"/>
      <c r="G4" s="44"/>
      <c r="H4" s="42"/>
    </row>
    <row r="5" customFormat="false" ht="15" hidden="false" customHeight="false" outlineLevel="0" collapsed="false">
      <c r="A5" s="42" t="s">
        <v>124</v>
      </c>
      <c r="B5" s="43"/>
      <c r="C5" s="44"/>
      <c r="D5" s="44"/>
      <c r="E5" s="44"/>
      <c r="F5" s="44"/>
      <c r="G5" s="44"/>
      <c r="H5" s="42"/>
    </row>
    <row r="7" customFormat="false" ht="15" hidden="false" customHeight="false" outlineLevel="0" collapsed="false">
      <c r="A7" s="31" t="s">
        <v>125</v>
      </c>
      <c r="F7" s="45" t="n">
        <v>0.8</v>
      </c>
    </row>
    <row r="8" customFormat="false" ht="15" hidden="false" customHeight="false" outlineLevel="0" collapsed="false">
      <c r="A8" s="31" t="s">
        <v>126</v>
      </c>
      <c r="F8" s="31" t="str">
        <f aca="false">IF(COUNT(C2:C5)=0,"No data",IF(MAX(C3:C5)&gt;=F7,"Looks ready","Not ready yet"))</f>
        <v>No data</v>
      </c>
    </row>
    <row r="10" customFormat="false" ht="15" hidden="false" customHeight="false" outlineLevel="0" collapsed="false">
      <c r="A10" s="41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46" t="s">
        <v>128</v>
      </c>
    </row>
    <row r="2" customFormat="false" ht="15" hidden="false" customHeight="false" outlineLevel="0" collapsed="false">
      <c r="A2" s="47" t="s">
        <v>129</v>
      </c>
    </row>
    <row r="3" customFormat="false" ht="15" hidden="false" customHeight="false" outlineLevel="0" collapsed="false">
      <c r="A3" s="47" t="s">
        <v>130</v>
      </c>
    </row>
    <row r="4" customFormat="false" ht="15" hidden="false" customHeight="false" outlineLevel="0" collapsed="false">
      <c r="A4" s="47" t="s">
        <v>131</v>
      </c>
    </row>
    <row r="5" customFormat="false" ht="15" hidden="false" customHeight="false" outlineLevel="0" collapsed="false">
      <c r="A5" s="47" t="s">
        <v>132</v>
      </c>
    </row>
    <row r="6" customFormat="false" ht="15" hidden="false" customHeight="false" outlineLevel="0" collapsed="false">
      <c r="A6" s="47"/>
    </row>
    <row r="7" customFormat="false" ht="15" hidden="false" customHeight="false" outlineLevel="0" collapsed="false">
      <c r="A7" s="46" t="s">
        <v>133</v>
      </c>
    </row>
    <row r="8" customFormat="false" ht="15" hidden="false" customHeight="false" outlineLevel="0" collapsed="false">
      <c r="A8" s="47" t="s">
        <v>134</v>
      </c>
    </row>
    <row r="9" customFormat="false" ht="23.85" hidden="false" customHeight="false" outlineLevel="0" collapsed="false">
      <c r="A9" s="47" t="s">
        <v>135</v>
      </c>
    </row>
    <row r="10" customFormat="false" ht="15" hidden="false" customHeight="false" outlineLevel="0" collapsed="false">
      <c r="A10" s="47" t="s">
        <v>136</v>
      </c>
    </row>
    <row r="11" customFormat="false" ht="15" hidden="false" customHeight="false" outlineLevel="0" collapsed="false">
      <c r="A11" s="47" t="s">
        <v>137</v>
      </c>
    </row>
    <row r="12" customFormat="false" ht="15" hidden="false" customHeight="false" outlineLevel="0" collapsed="false">
      <c r="A12" s="47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2026-10-13T11:31:09Z</dcterms:created>
  <dc:creator>openpyxl</dc:creator>
  <dc:description/>
  <dc:language>en-US</dc:language>
  <cp:lastModifiedBy/>
  <dcterms:modified xsi:type="dcterms:W3CDTF">2026-10-13T11:31:09Z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